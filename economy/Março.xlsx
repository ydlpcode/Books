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Folha1" sheetId="1" r:id="rId1"/>
    <sheet name="Folha2" sheetId="2" r:id="rId2"/>
    <sheet name="Folha3" sheetId="3" r:id="rId3"/>
  </sheets>
  <calcPr calcId="124519"/>
</workbook>
</file>

<file path=xl/calcChain.xml><?xml version="1.0" encoding="utf-8"?>
<calcChain xmlns="http://schemas.openxmlformats.org/spreadsheetml/2006/main">
  <c r="E42" i="1"/>
  <c r="E41"/>
  <c r="E40"/>
  <c r="E19"/>
  <c r="C19"/>
  <c r="A19"/>
  <c r="A40" s="1"/>
  <c r="C40" l="1"/>
  <c r="C41" l="1"/>
  <c r="C42"/>
</calcChain>
</file>

<file path=xl/sharedStrings.xml><?xml version="1.0" encoding="utf-8"?>
<sst xmlns="http://schemas.openxmlformats.org/spreadsheetml/2006/main" count="35" uniqueCount="34">
  <si>
    <t>Berta</t>
  </si>
  <si>
    <t>Mota</t>
  </si>
  <si>
    <t>Pc</t>
  </si>
  <si>
    <t>Transporte</t>
  </si>
  <si>
    <t>Food</t>
  </si>
  <si>
    <t>last dinners</t>
  </si>
  <si>
    <t>Net</t>
  </si>
  <si>
    <t>Zap</t>
  </si>
  <si>
    <t>IV</t>
  </si>
  <si>
    <t>Francisco (PC+Router)</t>
  </si>
  <si>
    <t>Rita Mono (Empréstimo)</t>
  </si>
  <si>
    <t>Magalhães (M. de Barbear)</t>
  </si>
  <si>
    <t>Josias (Empréstimo)</t>
  </si>
  <si>
    <t>Março</t>
  </si>
  <si>
    <t>Março (IV)</t>
  </si>
  <si>
    <t>Abril (IV)</t>
  </si>
  <si>
    <t>Relógio 5</t>
  </si>
  <si>
    <t>Relógio 6</t>
  </si>
  <si>
    <t>Relógio 7</t>
  </si>
  <si>
    <t>M.B 3 (Pt. Paulo)</t>
  </si>
  <si>
    <t>M.B 4 (Passi)</t>
  </si>
  <si>
    <t>M.B 5 (Ir. Samuel)</t>
  </si>
  <si>
    <t>M.B 1 (Eugénia - CSE)</t>
  </si>
  <si>
    <t>M.B 2 (Joaquim - Trifásica CSE)</t>
  </si>
  <si>
    <t>Relógio 8 (Wilma CSE)</t>
  </si>
  <si>
    <t>Relógio 9 (Francisco CSE)</t>
  </si>
  <si>
    <t>Relógio 1  (Passi)</t>
  </si>
  <si>
    <t>Relógio 2 (Passi)</t>
  </si>
  <si>
    <t>Relógio 3 (Catarina DK)</t>
  </si>
  <si>
    <t>Relógio 4 (Ir. Francisca)</t>
  </si>
  <si>
    <t>Unknown</t>
  </si>
  <si>
    <t>Eduardo Gonçalves</t>
  </si>
  <si>
    <t>Heltom</t>
  </si>
  <si>
    <t>Helton Gonçalves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</si>
</sst>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>
      <selection activeCell="D11" sqref="D11"/>
    </sheetView>
  </sheetViews>
  <sheetFormatPr defaultRowHeight="15"/>
  <cols>
    <col min="2" max="2" width="25" bestFit="1" customWidth="1"/>
    <col min="4" max="4" width="28.140625" bestFit="1" customWidth="1"/>
    <col min="6" max="6" width="24.85546875" customWidth="1"/>
  </cols>
  <sheetData>
    <row r="1" spans="1:6">
      <c r="A1" t="s">
        <v>13</v>
      </c>
      <c r="C1" t="s">
        <v>14</v>
      </c>
      <c r="E1" t="s">
        <v>15</v>
      </c>
    </row>
    <row r="2" spans="1:6">
      <c r="A2" s="2">
        <v>10000</v>
      </c>
      <c r="B2" t="s">
        <v>12</v>
      </c>
      <c r="C2" s="2">
        <v>6000</v>
      </c>
      <c r="D2" t="s">
        <v>22</v>
      </c>
    </row>
    <row r="3" spans="1:6">
      <c r="A3" s="2">
        <v>7000</v>
      </c>
      <c r="B3" t="s">
        <v>11</v>
      </c>
      <c r="C3" s="2">
        <v>6000</v>
      </c>
      <c r="D3" t="s">
        <v>23</v>
      </c>
    </row>
    <row r="4" spans="1:6">
      <c r="A4" s="2">
        <v>6000</v>
      </c>
      <c r="B4" t="s">
        <v>10</v>
      </c>
      <c r="C4" s="2">
        <v>6000</v>
      </c>
      <c r="D4" t="s">
        <v>19</v>
      </c>
    </row>
    <row r="5" spans="1:6">
      <c r="A5" s="2">
        <v>20000</v>
      </c>
      <c r="B5" t="s">
        <v>9</v>
      </c>
      <c r="C5" s="2">
        <v>6000</v>
      </c>
      <c r="D5" t="s">
        <v>20</v>
      </c>
    </row>
    <row r="6" spans="1:6">
      <c r="C6" s="2">
        <v>6000</v>
      </c>
      <c r="D6" t="s">
        <v>21</v>
      </c>
    </row>
    <row r="7" spans="1:6">
      <c r="C7" s="2">
        <v>5000</v>
      </c>
      <c r="D7" t="s">
        <v>26</v>
      </c>
    </row>
    <row r="8" spans="1:6">
      <c r="C8" s="2">
        <v>5000</v>
      </c>
      <c r="D8" t="s">
        <v>27</v>
      </c>
    </row>
    <row r="9" spans="1:6">
      <c r="C9" s="2">
        <v>6000</v>
      </c>
      <c r="D9" t="s">
        <v>28</v>
      </c>
    </row>
    <row r="10" spans="1:6">
      <c r="A10" s="2"/>
      <c r="C10" s="2">
        <v>6000</v>
      </c>
      <c r="D10" t="s">
        <v>29</v>
      </c>
    </row>
    <row r="11" spans="1:6">
      <c r="A11" s="2"/>
      <c r="C11" s="2">
        <v>6000</v>
      </c>
      <c r="D11" t="s">
        <v>16</v>
      </c>
    </row>
    <row r="12" spans="1:6">
      <c r="A12" s="2"/>
      <c r="C12" s="2">
        <v>6000</v>
      </c>
      <c r="D12" t="s">
        <v>17</v>
      </c>
    </row>
    <row r="13" spans="1:6">
      <c r="A13" s="2"/>
      <c r="C13" s="2">
        <v>6000</v>
      </c>
      <c r="D13" t="s">
        <v>18</v>
      </c>
    </row>
    <row r="14" spans="1:6">
      <c r="A14" s="2"/>
      <c r="E14" s="2">
        <v>6000</v>
      </c>
      <c r="F14" t="s">
        <v>24</v>
      </c>
    </row>
    <row r="15" spans="1:6">
      <c r="A15" s="2"/>
      <c r="E15" s="2">
        <v>6000</v>
      </c>
      <c r="F15" t="s">
        <v>25</v>
      </c>
    </row>
    <row r="16" spans="1:6">
      <c r="A16" s="2"/>
      <c r="E16" s="2">
        <v>6000</v>
      </c>
      <c r="F16" t="s">
        <v>30</v>
      </c>
    </row>
    <row r="17" spans="1:5">
      <c r="A17" s="2">
        <v>170000</v>
      </c>
    </row>
    <row r="18" spans="1:5">
      <c r="A18" s="2">
        <v>595000</v>
      </c>
    </row>
    <row r="19" spans="1:5">
      <c r="A19">
        <f>SUM(A2:A18)</f>
        <v>808000</v>
      </c>
      <c r="C19">
        <f t="shared" ref="B19:E19" si="0">SUM(C2:C18)</f>
        <v>70000</v>
      </c>
      <c r="E19">
        <f t="shared" si="0"/>
        <v>18000</v>
      </c>
    </row>
    <row r="20" spans="1:5">
      <c r="A20" s="1">
        <v>110000</v>
      </c>
      <c r="B20" t="s">
        <v>0</v>
      </c>
    </row>
    <row r="21" spans="1:5">
      <c r="A21" s="1">
        <v>480000</v>
      </c>
      <c r="B21" t="s">
        <v>1</v>
      </c>
    </row>
    <row r="22" spans="1:5">
      <c r="A22" s="1">
        <v>175000</v>
      </c>
      <c r="B22" t="s">
        <v>2</v>
      </c>
    </row>
    <row r="23" spans="1:5">
      <c r="A23" s="1">
        <v>4300</v>
      </c>
      <c r="B23" t="s">
        <v>3</v>
      </c>
    </row>
    <row r="24" spans="1:5">
      <c r="A24" s="1">
        <v>9000</v>
      </c>
      <c r="B24" t="s">
        <v>4</v>
      </c>
    </row>
    <row r="25" spans="1:5">
      <c r="A25" s="1">
        <v>3000</v>
      </c>
      <c r="B25" t="s">
        <v>5</v>
      </c>
    </row>
    <row r="26" spans="1:5">
      <c r="A26" s="1">
        <v>12000</v>
      </c>
      <c r="B26" t="s">
        <v>6</v>
      </c>
    </row>
    <row r="27" spans="1:5">
      <c r="A27" s="1">
        <v>8100</v>
      </c>
      <c r="B27" t="s">
        <v>7</v>
      </c>
    </row>
    <row r="28" spans="1:5">
      <c r="C28" s="1">
        <v>50000</v>
      </c>
      <c r="D28" t="s">
        <v>8</v>
      </c>
      <c r="E28" s="1"/>
    </row>
    <row r="29" spans="1:5">
      <c r="C29" s="1"/>
    </row>
    <row r="30" spans="1:5">
      <c r="A30" s="1"/>
    </row>
    <row r="31" spans="1:5">
      <c r="A31" s="1"/>
    </row>
    <row r="32" spans="1:5">
      <c r="A32" s="1"/>
    </row>
    <row r="33" spans="1:6">
      <c r="A33" s="1"/>
    </row>
    <row r="34" spans="1:6">
      <c r="A34" s="1"/>
    </row>
    <row r="35" spans="1:6">
      <c r="A35" s="1"/>
    </row>
    <row r="36" spans="1:6">
      <c r="A36" s="1"/>
    </row>
    <row r="37" spans="1:6">
      <c r="A37" s="1"/>
    </row>
    <row r="38" spans="1:6">
      <c r="A38" s="1"/>
    </row>
    <row r="39" spans="1:6">
      <c r="A39" s="1"/>
    </row>
    <row r="40" spans="1:6">
      <c r="A40">
        <f>A19-SUM(A20:A39)</f>
        <v>6600</v>
      </c>
      <c r="C40">
        <f t="shared" ref="B40:E40" si="1">C19-SUM(C20:C39)</f>
        <v>20000</v>
      </c>
      <c r="E40">
        <f t="shared" ref="E40" si="2">E19-SUM(E20:E39)</f>
        <v>18000</v>
      </c>
    </row>
    <row r="41" spans="1:6">
      <c r="C41">
        <f>C40*50%</f>
        <v>10000</v>
      </c>
      <c r="D41" t="s">
        <v>31</v>
      </c>
      <c r="E41">
        <f>E40*50%</f>
        <v>9000</v>
      </c>
      <c r="F41" t="s">
        <v>31</v>
      </c>
    </row>
    <row r="42" spans="1:6">
      <c r="C42">
        <f>C40*50%</f>
        <v>10000</v>
      </c>
      <c r="D42" t="s">
        <v>33</v>
      </c>
      <c r="E42">
        <f>E40*50%</f>
        <v>9000</v>
      </c>
      <c r="F42" t="s">
        <v>32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eduardo.chambingo</dc:creator>
  <cp:lastModifiedBy>eduardo.chambingo</cp:lastModifiedBy>
  <dcterms:created xsi:type="dcterms:W3CDTF">2023-03-22T18:21:21Z</dcterms:created>
  <dcterms:modified xsi:type="dcterms:W3CDTF">2023-03-22T18:57:55Z</dcterms:modified>
</cp:coreProperties>
</file>